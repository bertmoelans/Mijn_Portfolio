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d61c7d495ab08a0/Documenten/Thomas More Informatica/2e jaar/1ste semester/Systems engineering ^0 analysis/Projectweek/"/>
    </mc:Choice>
  </mc:AlternateContent>
  <xr:revisionPtr revIDLastSave="1151" documentId="8_{880D915A-4A61-417E-8509-8B095C129739}" xr6:coauthVersionLast="45" xr6:coauthVersionMax="45" xr10:uidLastSave="{FE3A5062-56BA-4679-BBF9-5DACDDC0301C}"/>
  <bookViews>
    <workbookView xWindow="-108" yWindow="-108" windowWidth="23256" windowHeight="12576" xr2:uid="{3CF264EA-2DAC-45F1-849E-D2214B1D9743}"/>
  </bookViews>
  <sheets>
    <sheet name="Blad1" sheetId="1" r:id="rId1"/>
  </sheets>
  <definedNames>
    <definedName name="_xlnm._FilterDatabase" localSheetId="0" hidden="1">Blad1!$C$7:$C$7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4" i="1" l="1"/>
  <c r="S14" i="1" l="1"/>
  <c r="O14" i="1"/>
  <c r="I14" i="1"/>
  <c r="C7" i="1" l="1"/>
  <c r="I7" i="1"/>
  <c r="O7" i="1"/>
  <c r="Q11" i="1" l="1"/>
  <c r="K11" i="1"/>
  <c r="S7" i="1"/>
  <c r="S10" i="1" s="1"/>
  <c r="I10" i="1"/>
  <c r="E11" i="1"/>
  <c r="O10" i="1" l="1"/>
  <c r="C10" i="1"/>
</calcChain>
</file>

<file path=xl/sharedStrings.xml><?xml version="1.0" encoding="utf-8"?>
<sst xmlns="http://schemas.openxmlformats.org/spreadsheetml/2006/main" count="18" uniqueCount="15">
  <si>
    <t>HUIS 1</t>
  </si>
  <si>
    <t>Regenput 1</t>
  </si>
  <si>
    <t>Bezinkput 1</t>
  </si>
  <si>
    <t>HUIS 2</t>
  </si>
  <si>
    <t>Regenput 2</t>
  </si>
  <si>
    <t>HUIS 3</t>
  </si>
  <si>
    <t>Bezinkput 2</t>
  </si>
  <si>
    <t>Regenput 3</t>
  </si>
  <si>
    <t>Bezinkput 3</t>
  </si>
  <si>
    <t>CONCLUSIE</t>
  </si>
  <si>
    <t>Waterschaarste</t>
  </si>
  <si>
    <t>Normale omstandigheden</t>
  </si>
  <si>
    <t>Overtollige regenval</t>
  </si>
  <si>
    <t>Oude waarde</t>
  </si>
  <si>
    <t>Vijver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</si>
</sst>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indexed="64"/>
      </left>
      <right style="thick">
        <color indexed="64"/>
      </right>
      <top style="thick">
        <color auto="1"/>
      </top>
      <bottom/>
      <diagonal/>
    </border>
    <border>
      <left style="thick">
        <color auto="1"/>
      </left>
      <right style="thick">
        <color indexed="64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ck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1" fontId="0" fillId="0" borderId="0" xfId="0" applyNumberFormat="1" applyFont="1" applyAlignment="1">
      <alignment horizontal="left"/>
    </xf>
    <xf numFmtId="1" fontId="0" fillId="2" borderId="3" xfId="0" applyNumberFormat="1" applyFill="1" applyBorder="1" applyAlignment="1">
      <alignment horizontal="center"/>
    </xf>
    <xf numFmtId="1" fontId="0" fillId="0" borderId="0" xfId="0" applyNumberFormat="1" applyAlignment="1">
      <alignment horizontal="right"/>
    </xf>
    <xf numFmtId="1" fontId="0" fillId="2" borderId="2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0" fontId="2" fillId="0" borderId="0" xfId="0" applyFont="1" applyAlignment="1"/>
    <xf numFmtId="1" fontId="2" fillId="0" borderId="0" xfId="0" applyNumberFormat="1" applyFont="1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2" xfId="0" applyBorder="1" applyAlignment="1"/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/>
    <xf numFmtId="0" fontId="0" fillId="3" borderId="16" xfId="0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1" fontId="0" fillId="3" borderId="17" xfId="0" applyNumberFormat="1" applyFill="1" applyBorder="1" applyAlignment="1">
      <alignment horizontal="center"/>
    </xf>
  </cellXfs>
  <cellStyles count="1">
    <cellStyle name="Standaard" xfId="0" builtinId="0"/>
  </cellStyles>
  <dxfs count="62"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79998168889431442"/>
        </patternFill>
      </fill>
    </dxf>
    <dxf>
      <fill>
        <patternFill>
          <bgColor theme="7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FF5050"/>
        </patternFill>
      </fill>
    </dxf>
    <dxf>
      <fill>
        <patternFill>
          <bgColor rgb="FF00B0F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00B0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Voor pompen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chemeClr val="accent1">
            <a:alpha val="3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dLbls>
            <c:delete val="1"/>
          </c:dLbls>
          <c:cat>
            <c:strRef>
              <c:f>(Blad1!$C$9,Blad1!$I$9,Blad1!$O$9,Blad1!$S$9)</c:f>
              <c:strCache>
                <c:ptCount val="4"/>
                <c:pt idx="0">
                  <c:v>Regenput 1</c:v>
                </c:pt>
                <c:pt idx="1">
                  <c:v>Regenput 2</c:v>
                </c:pt>
                <c:pt idx="2">
                  <c:v>Regenput 3</c:v>
                </c:pt>
                <c:pt idx="3">
                  <c:v>Vijver</c:v>
                </c:pt>
              </c:strCache>
            </c:strRef>
          </c:cat>
          <c:val>
            <c:numRef>
              <c:f>(Blad1!$C$11,Blad1!$I$11,Blad1!$O$11,Blad1!$S$11)</c:f>
              <c:numCache>
                <c:formatCode>General</c:formatCode>
                <c:ptCount val="4"/>
                <c:pt idx="0">
                  <c:v>19</c:v>
                </c:pt>
                <c:pt idx="1">
                  <c:v>34</c:v>
                </c:pt>
                <c:pt idx="2">
                  <c:v>1</c:v>
                </c:pt>
                <c:pt idx="3" formatCode="0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78-4827-9DEE-0BDFEDDA28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4"/>
        <c:gapDepth val="0"/>
        <c:shape val="box"/>
        <c:axId val="562060751"/>
        <c:axId val="341790287"/>
        <c:axId val="0"/>
      </c:bar3DChart>
      <c:catAx>
        <c:axId val="5620607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341790287"/>
        <c:crosses val="autoZero"/>
        <c:auto val="1"/>
        <c:lblAlgn val="ctr"/>
        <c:lblOffset val="100"/>
        <c:noMultiLvlLbl val="0"/>
      </c:catAx>
      <c:valAx>
        <c:axId val="341790287"/>
        <c:scaling>
          <c:orientation val="minMax"/>
          <c:max val="100"/>
          <c:min val="0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6206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nl-BE"/>
              <a:t>Na pompen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solidFill>
          <a:schemeClr val="accent1">
            <a:alpha val="30000"/>
          </a:schemeClr>
        </a:solidFill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(Blad1!$C$9,Blad1!$I$9,Blad1!$O$9,Blad1!$S$9)</c:f>
              <c:strCache>
                <c:ptCount val="4"/>
                <c:pt idx="0">
                  <c:v>Regenput 1</c:v>
                </c:pt>
                <c:pt idx="1">
                  <c:v>Regenput 2</c:v>
                </c:pt>
                <c:pt idx="2">
                  <c:v>Regenput 3</c:v>
                </c:pt>
                <c:pt idx="3">
                  <c:v>Vijver</c:v>
                </c:pt>
              </c:strCache>
            </c:strRef>
          </c:cat>
          <c:val>
            <c:numRef>
              <c:f>(Blad1!$C$14,Blad1!$I$14,Blad1!$O$14,Blad1!$S$14)</c:f>
              <c:numCache>
                <c:formatCode>0</c:formatCode>
                <c:ptCount val="4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6F-4217-B09F-5394FE7C2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4"/>
        <c:gapDepth val="0"/>
        <c:shape val="box"/>
        <c:axId val="1259420367"/>
        <c:axId val="1141648223"/>
        <c:axId val="0"/>
      </c:bar3DChart>
      <c:catAx>
        <c:axId val="1259420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60000"/>
                  <a:lumOff val="4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spc="15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141648223"/>
        <c:crosses val="autoZero"/>
        <c:auto val="1"/>
        <c:lblAlgn val="ctr"/>
        <c:lblOffset val="100"/>
        <c:noMultiLvlLbl val="0"/>
      </c:catAx>
      <c:valAx>
        <c:axId val="1141648223"/>
        <c:scaling>
          <c:orientation val="minMax"/>
          <c:max val="100"/>
          <c:min val="0"/>
        </c:scaling>
        <c:delete val="0"/>
        <c:axPos val="l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594203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5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cap="all" spc="150" normalizeH="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>
      <cs:styleClr val="auto"/>
    </cs:fillRef>
    <cs:effectRef idx="0"/>
    <cs:fontRef idx="minor">
      <a:schemeClr val="lt1"/>
    </cs:fontRef>
    <cs:spPr>
      <a:solidFill>
        <a:schemeClr val="phClr">
          <a:alpha val="70000"/>
        </a:schemeClr>
      </a:solidFill>
    </cs:spPr>
    <cs:defRPr sz="900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lumMod val="20000"/>
          <a:lumOff val="80000"/>
        </a:schemeClr>
      </a:solidFill>
      <a:sp3d/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34925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>
      <cs:styleClr val="0"/>
    </cs:fillRef>
    <cs:effectRef idx="0"/>
    <cs:fontRef idx="minor">
      <a:schemeClr val="dk1"/>
    </cs:fontRef>
    <cs:spPr>
      <a:solidFill>
        <a:schemeClr val="phClr">
          <a:alpha val="30000"/>
        </a:schemeClr>
      </a:solidFill>
      <a:sp3d/>
    </cs:spPr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lumMod val="60000"/>
            <a:lumOff val="40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lumMod val="50000"/>
            <a:lumOff val="5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396240</xdr:colOff>
      <xdr:row>3</xdr:row>
      <xdr:rowOff>160020</xdr:rowOff>
    </xdr:from>
    <xdr:to>
      <xdr:col>2</xdr:col>
      <xdr:colOff>396240</xdr:colOff>
      <xdr:row>7</xdr:row>
      <xdr:rowOff>182880</xdr:rowOff>
    </xdr:to>
    <xdr:cxnSp macro="">
      <xdr:nvCxnSpPr>
        <xdr:cNvPr id="15" name="Rechte verbindingslijn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>
          <a:off x="1386840" y="708660"/>
          <a:ext cx="0" cy="75438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144780</xdr:colOff>
      <xdr:row>1</xdr:row>
      <xdr:rowOff>91440</xdr:rowOff>
    </xdr:from>
    <xdr:to>
      <xdr:col>2</xdr:col>
      <xdr:colOff>673570</xdr:colOff>
      <xdr:row>3</xdr:row>
      <xdr:rowOff>106680</xdr:rowOff>
    </xdr:to>
    <xdr:pic>
      <xdr:nvPicPr>
        <xdr:cNvPr id="9" name="Afbeelding 8" descr="Afbeeldingsresultaat voor huisje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3980" y="274320"/>
          <a:ext cx="52879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205740</xdr:colOff>
      <xdr:row>1</xdr:row>
      <xdr:rowOff>68580</xdr:rowOff>
    </xdr:from>
    <xdr:to>
      <xdr:col>8</xdr:col>
      <xdr:colOff>734530</xdr:colOff>
      <xdr:row>3</xdr:row>
      <xdr:rowOff>83820</xdr:rowOff>
    </xdr:to>
    <xdr:pic>
      <xdr:nvPicPr>
        <xdr:cNvPr id="10" name="Afbeelding 9" descr="Afbeeldingsresultaat voor huisje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89220" y="251460"/>
          <a:ext cx="52879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175260</xdr:colOff>
      <xdr:row>1</xdr:row>
      <xdr:rowOff>53340</xdr:rowOff>
    </xdr:from>
    <xdr:to>
      <xdr:col>14</xdr:col>
      <xdr:colOff>704050</xdr:colOff>
      <xdr:row>3</xdr:row>
      <xdr:rowOff>68580</xdr:rowOff>
    </xdr:to>
    <xdr:pic>
      <xdr:nvPicPr>
        <xdr:cNvPr id="11" name="Afbeelding 10" descr="Afbeeldingsresultaat voor huisj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9180" y="236220"/>
          <a:ext cx="528790" cy="381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3099</xdr:colOff>
      <xdr:row>9</xdr:row>
      <xdr:rowOff>140174</xdr:rowOff>
    </xdr:from>
    <xdr:to>
      <xdr:col>3</xdr:col>
      <xdr:colOff>610354</xdr:colOff>
      <xdr:row>9</xdr:row>
      <xdr:rowOff>140174</xdr:rowOff>
    </xdr:to>
    <xdr:cxnSp macro="">
      <xdr:nvCxnSpPr>
        <xdr:cNvPr id="23" name="Rechte verbindingslij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>
        <a:xfrm>
          <a:off x="1434989" y="1814899"/>
          <a:ext cx="607255" cy="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457200</xdr:colOff>
      <xdr:row>3</xdr:row>
      <xdr:rowOff>144780</xdr:rowOff>
    </xdr:from>
    <xdr:to>
      <xdr:col>8</xdr:col>
      <xdr:colOff>457200</xdr:colOff>
      <xdr:row>8</xdr:row>
      <xdr:rowOff>0</xdr:rowOff>
    </xdr:to>
    <xdr:cxnSp macro="">
      <xdr:nvCxnSpPr>
        <xdr:cNvPr id="26" name="Rechte verbindingslij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>
          <a:off x="5440680" y="693420"/>
          <a:ext cx="0" cy="76962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939949</xdr:colOff>
      <xdr:row>9</xdr:row>
      <xdr:rowOff>154662</xdr:rowOff>
    </xdr:from>
    <xdr:to>
      <xdr:col>9</xdr:col>
      <xdr:colOff>593015</xdr:colOff>
      <xdr:row>9</xdr:row>
      <xdr:rowOff>154662</xdr:rowOff>
    </xdr:to>
    <xdr:cxnSp macro="">
      <xdr:nvCxnSpPr>
        <xdr:cNvPr id="27" name="Rechte verbindingslijn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CxnSpPr/>
      </xdr:nvCxnSpPr>
      <xdr:spPr>
        <a:xfrm>
          <a:off x="6058796" y="1786238"/>
          <a:ext cx="594360" cy="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434340</xdr:colOff>
      <xdr:row>3</xdr:row>
      <xdr:rowOff>144780</xdr:rowOff>
    </xdr:from>
    <xdr:to>
      <xdr:col>14</xdr:col>
      <xdr:colOff>434340</xdr:colOff>
      <xdr:row>8</xdr:row>
      <xdr:rowOff>0</xdr:rowOff>
    </xdr:to>
    <xdr:cxnSp macro="">
      <xdr:nvCxnSpPr>
        <xdr:cNvPr id="28" name="Rechte verbindingslijn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CxnSpPr/>
      </xdr:nvCxnSpPr>
      <xdr:spPr>
        <a:xfrm>
          <a:off x="8938260" y="693420"/>
          <a:ext cx="0" cy="76962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0</xdr:colOff>
      <xdr:row>9</xdr:row>
      <xdr:rowOff>154662</xdr:rowOff>
    </xdr:from>
    <xdr:to>
      <xdr:col>16</xdr:col>
      <xdr:colOff>0</xdr:colOff>
      <xdr:row>9</xdr:row>
      <xdr:rowOff>154662</xdr:rowOff>
    </xdr:to>
    <xdr:cxnSp macro="">
      <xdr:nvCxnSpPr>
        <xdr:cNvPr id="29" name="Rechte verbindingslijn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CxnSpPr/>
      </xdr:nvCxnSpPr>
      <xdr:spPr>
        <a:xfrm>
          <a:off x="9495692" y="1829387"/>
          <a:ext cx="611275" cy="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403860</xdr:colOff>
      <xdr:row>5</xdr:row>
      <xdr:rowOff>91440</xdr:rowOff>
    </xdr:from>
    <xdr:to>
      <xdr:col>18</xdr:col>
      <xdr:colOff>701040</xdr:colOff>
      <xdr:row>5</xdr:row>
      <xdr:rowOff>106680</xdr:rowOff>
    </xdr:to>
    <xdr:cxnSp macro="">
      <xdr:nvCxnSpPr>
        <xdr:cNvPr id="34" name="Rechte verbindingslijn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>
        <a:xfrm flipV="1">
          <a:off x="1623060" y="1005840"/>
          <a:ext cx="10599420" cy="15240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669890</xdr:colOff>
      <xdr:row>5</xdr:row>
      <xdr:rowOff>58615</xdr:rowOff>
    </xdr:from>
    <xdr:to>
      <xdr:col>18</xdr:col>
      <xdr:colOff>678264</xdr:colOff>
      <xdr:row>7</xdr:row>
      <xdr:rowOff>184220</xdr:rowOff>
    </xdr:to>
    <xdr:cxnSp macro="">
      <xdr:nvCxnSpPr>
        <xdr:cNvPr id="36" name="Rechte verbindingslijn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CxnSpPr/>
      </xdr:nvCxnSpPr>
      <xdr:spPr>
        <a:xfrm flipH="1">
          <a:off x="12309231" y="979714"/>
          <a:ext cx="8374" cy="494044"/>
        </a:xfrm>
        <a:prstGeom prst="line">
          <a:avLst/>
        </a:prstGeom>
        <a:ln w="762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365760</xdr:colOff>
      <xdr:row>11</xdr:row>
      <xdr:rowOff>76200</xdr:rowOff>
    </xdr:from>
    <xdr:to>
      <xdr:col>2</xdr:col>
      <xdr:colOff>464820</xdr:colOff>
      <xdr:row>12</xdr:row>
      <xdr:rowOff>121920</xdr:rowOff>
    </xdr:to>
    <xdr:sp macro="" textlink="">
      <xdr:nvSpPr>
        <xdr:cNvPr id="14" name="Pijl: omlaa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356360" y="2103120"/>
          <a:ext cx="99060" cy="2362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/>
        </a:p>
      </xdr:txBody>
    </xdr:sp>
    <xdr:clientData/>
  </xdr:twoCellAnchor>
  <xdr:twoCellAnchor>
    <xdr:from>
      <xdr:col>8</xdr:col>
      <xdr:colOff>418253</xdr:colOff>
      <xdr:row>11</xdr:row>
      <xdr:rowOff>60115</xdr:rowOff>
    </xdr:from>
    <xdr:to>
      <xdr:col>8</xdr:col>
      <xdr:colOff>517313</xdr:colOff>
      <xdr:row>12</xdr:row>
      <xdr:rowOff>105835</xdr:rowOff>
    </xdr:to>
    <xdr:sp macro="" textlink="">
      <xdr:nvSpPr>
        <xdr:cNvPr id="32" name="Pijl: omlaag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4981786" y="2125982"/>
          <a:ext cx="99060" cy="24045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/>
        </a:p>
      </xdr:txBody>
    </xdr:sp>
    <xdr:clientData/>
  </xdr:twoCellAnchor>
  <xdr:twoCellAnchor>
    <xdr:from>
      <xdr:col>14</xdr:col>
      <xdr:colOff>388620</xdr:colOff>
      <xdr:row>11</xdr:row>
      <xdr:rowOff>68580</xdr:rowOff>
    </xdr:from>
    <xdr:to>
      <xdr:col>14</xdr:col>
      <xdr:colOff>487680</xdr:colOff>
      <xdr:row>12</xdr:row>
      <xdr:rowOff>114300</xdr:rowOff>
    </xdr:to>
    <xdr:sp macro="" textlink="">
      <xdr:nvSpPr>
        <xdr:cNvPr id="33" name="Pijl: omlaag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869680" y="2095500"/>
          <a:ext cx="99060" cy="23622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/>
        </a:p>
      </xdr:txBody>
    </xdr:sp>
    <xdr:clientData/>
  </xdr:twoCellAnchor>
  <xdr:twoCellAnchor>
    <xdr:from>
      <xdr:col>18</xdr:col>
      <xdr:colOff>504623</xdr:colOff>
      <xdr:row>11</xdr:row>
      <xdr:rowOff>55034</xdr:rowOff>
    </xdr:from>
    <xdr:to>
      <xdr:col>18</xdr:col>
      <xdr:colOff>603683</xdr:colOff>
      <xdr:row>12</xdr:row>
      <xdr:rowOff>100754</xdr:rowOff>
    </xdr:to>
    <xdr:sp macro="" textlink="">
      <xdr:nvSpPr>
        <xdr:cNvPr id="18" name="Pijl: omlaag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2137823" y="2120901"/>
          <a:ext cx="99060" cy="24045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B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22</xdr:row>
          <xdr:rowOff>45720</xdr:rowOff>
        </xdr:from>
        <xdr:to>
          <xdr:col>2</xdr:col>
          <xdr:colOff>335280</xdr:colOff>
          <xdr:row>23</xdr:row>
          <xdr:rowOff>144780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Verbruik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480060</xdr:colOff>
          <xdr:row>24</xdr:row>
          <xdr:rowOff>99060</xdr:rowOff>
        </xdr:from>
        <xdr:to>
          <xdr:col>2</xdr:col>
          <xdr:colOff>335280</xdr:colOff>
          <xdr:row>26</xdr:row>
          <xdr:rowOff>22860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Regenval %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312420</xdr:colOff>
          <xdr:row>17</xdr:row>
          <xdr:rowOff>106680</xdr:rowOff>
        </xdr:from>
        <xdr:to>
          <xdr:col>2</xdr:col>
          <xdr:colOff>586740</xdr:colOff>
          <xdr:row>19</xdr:row>
          <xdr:rowOff>15240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Weinig verbruik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19</xdr:row>
          <xdr:rowOff>137160</xdr:rowOff>
        </xdr:from>
        <xdr:to>
          <xdr:col>2</xdr:col>
          <xdr:colOff>594360</xdr:colOff>
          <xdr:row>21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Weinig regenval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27</xdr:row>
          <xdr:rowOff>7620</xdr:rowOff>
        </xdr:from>
        <xdr:to>
          <xdr:col>2</xdr:col>
          <xdr:colOff>533400</xdr:colOff>
          <xdr:row>28</xdr:row>
          <xdr:rowOff>91440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verbruik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541020</xdr:colOff>
          <xdr:row>15</xdr:row>
          <xdr:rowOff>114300</xdr:rowOff>
        </xdr:from>
        <xdr:to>
          <xdr:col>2</xdr:col>
          <xdr:colOff>281940</xdr:colOff>
          <xdr:row>17</xdr:row>
          <xdr:rowOff>7620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335280</xdr:colOff>
          <xdr:row>31</xdr:row>
          <xdr:rowOff>60960</xdr:rowOff>
        </xdr:from>
        <xdr:to>
          <xdr:col>2</xdr:col>
          <xdr:colOff>457200</xdr:colOff>
          <xdr:row>32</xdr:row>
          <xdr:rowOff>137160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Put 2 dalen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363071</xdr:colOff>
      <xdr:row>14</xdr:row>
      <xdr:rowOff>174811</xdr:rowOff>
    </xdr:from>
    <xdr:to>
      <xdr:col>11</xdr:col>
      <xdr:colOff>35858</xdr:colOff>
      <xdr:row>30</xdr:row>
      <xdr:rowOff>-1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4482</xdr:colOff>
      <xdr:row>14</xdr:row>
      <xdr:rowOff>174811</xdr:rowOff>
    </xdr:from>
    <xdr:to>
      <xdr:col>19</xdr:col>
      <xdr:colOff>8965</xdr:colOff>
      <xdr:row>30</xdr:row>
      <xdr:rowOff>-1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29</xdr:row>
          <xdr:rowOff>45720</xdr:rowOff>
        </xdr:from>
        <xdr:to>
          <xdr:col>2</xdr:col>
          <xdr:colOff>601980</xdr:colOff>
          <xdr:row>30</xdr:row>
          <xdr:rowOff>106680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regenval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4B62-8593-4A44-B0E3-2D98B67A15BE}">
  <sheetPr codeName="Blad1"/>
  <dimension ref="B1:V47"/>
  <sheetViews>
    <sheetView tabSelected="1" zoomScale="85" zoomScaleNormal="85" workbookViewId="0">
      <selection activeCell="D22" sqref="D22"/>
    </sheetView>
  </sheetViews>
  <sheetFormatPr defaultRowHeight="14.4" x14ac:dyDescent="0.3"/>
  <cols>
    <col min="1" max="1" width="3.77734375" customWidth="1"/>
    <col min="2" max="2" width="12.44140625" customWidth="1"/>
    <col min="3" max="3" width="12" customWidth="1"/>
    <col min="5" max="5" width="11.6640625" customWidth="1"/>
    <col min="6" max="6" width="6.6640625" customWidth="1"/>
    <col min="7" max="7" width="8" customWidth="1"/>
    <col min="8" max="8" width="13" customWidth="1"/>
    <col min="9" max="9" width="13.6640625" customWidth="1"/>
    <col min="11" max="11" width="11.88671875" customWidth="1"/>
    <col min="12" max="12" width="8.6640625" customWidth="1"/>
    <col min="13" max="13" width="8.109375" customWidth="1"/>
    <col min="14" max="14" width="12.5546875" customWidth="1"/>
    <col min="15" max="15" width="12.77734375" customWidth="1"/>
    <col min="17" max="17" width="13.44140625" customWidth="1"/>
    <col min="19" max="19" width="15.77734375" customWidth="1"/>
    <col min="20" max="20" width="12.77734375" customWidth="1"/>
    <col min="21" max="21" width="24.44140625" customWidth="1"/>
  </cols>
  <sheetData>
    <row r="1" spans="2:22" x14ac:dyDescent="0.3">
      <c r="C1" s="4" t="s">
        <v>0</v>
      </c>
      <c r="D1" s="1"/>
      <c r="E1" s="1"/>
      <c r="F1" s="1"/>
      <c r="G1" s="1"/>
      <c r="H1" s="1"/>
      <c r="I1" s="4" t="s">
        <v>3</v>
      </c>
      <c r="J1" s="1"/>
      <c r="K1" s="1"/>
      <c r="L1" s="2"/>
      <c r="M1" s="2"/>
      <c r="N1" s="2"/>
      <c r="O1" s="4" t="s">
        <v>5</v>
      </c>
      <c r="P1" s="1"/>
      <c r="Q1" s="1"/>
      <c r="R1" s="2"/>
      <c r="S1" s="2"/>
      <c r="T1" s="2"/>
      <c r="U1" s="2"/>
      <c r="V1" s="2"/>
    </row>
    <row r="2" spans="2:22" x14ac:dyDescent="0.3">
      <c r="D2" s="1"/>
      <c r="E2" s="1"/>
      <c r="F2" s="1"/>
      <c r="G2" s="1"/>
      <c r="H2" s="1"/>
      <c r="I2" s="1"/>
      <c r="J2" s="1"/>
      <c r="K2" s="1"/>
      <c r="L2" s="2"/>
      <c r="M2" s="2"/>
      <c r="N2" s="2"/>
      <c r="O2" s="1"/>
      <c r="P2" s="1"/>
      <c r="Q2" s="1"/>
      <c r="R2" s="2"/>
      <c r="S2" s="2"/>
      <c r="T2" s="2"/>
      <c r="U2" s="2"/>
      <c r="V2" s="2"/>
    </row>
    <row r="3" spans="2:22" x14ac:dyDescent="0.3">
      <c r="C3" s="1"/>
      <c r="D3" s="1"/>
      <c r="E3" s="1"/>
      <c r="F3" s="1"/>
      <c r="G3" s="1"/>
      <c r="H3" s="1"/>
      <c r="I3" s="1"/>
      <c r="J3" s="1"/>
      <c r="K3" s="1"/>
      <c r="L3" s="2"/>
      <c r="M3" s="2"/>
      <c r="N3" s="2"/>
      <c r="O3" s="1"/>
      <c r="P3" s="1"/>
      <c r="Q3" s="1"/>
      <c r="R3" s="2"/>
      <c r="S3" s="2"/>
      <c r="T3" s="2"/>
      <c r="U3" s="2"/>
      <c r="V3" s="2"/>
    </row>
    <row r="4" spans="2:22" x14ac:dyDescent="0.3">
      <c r="C4" s="1"/>
      <c r="D4" s="1"/>
      <c r="E4" s="1"/>
      <c r="F4" s="1"/>
      <c r="G4" s="1"/>
      <c r="H4" s="1"/>
      <c r="I4" s="1"/>
      <c r="J4" s="1"/>
      <c r="K4" s="1"/>
      <c r="L4" s="2"/>
      <c r="M4" s="2"/>
      <c r="N4" s="2"/>
      <c r="O4" s="1"/>
      <c r="P4" s="1"/>
      <c r="Q4" s="1"/>
      <c r="R4" s="2"/>
      <c r="S4" s="2"/>
      <c r="T4" s="2"/>
      <c r="U4" s="2"/>
      <c r="V4" s="2"/>
    </row>
    <row r="5" spans="2:22" x14ac:dyDescent="0.3">
      <c r="C5" s="1"/>
      <c r="D5" s="1"/>
      <c r="E5" s="4"/>
      <c r="F5" s="1"/>
      <c r="G5" s="1"/>
      <c r="H5" s="1"/>
      <c r="I5" s="1"/>
      <c r="J5" s="1"/>
      <c r="K5" s="1"/>
      <c r="L5" s="4"/>
      <c r="M5" s="2"/>
      <c r="N5" s="2"/>
      <c r="O5" s="1"/>
      <c r="P5" s="1"/>
      <c r="Q5" s="4"/>
      <c r="R5" s="4"/>
      <c r="S5" s="2"/>
      <c r="T5" s="2"/>
      <c r="U5" s="2"/>
      <c r="V5" s="2"/>
    </row>
    <row r="6" spans="2:22" x14ac:dyDescent="0.3">
      <c r="C6" s="1"/>
      <c r="D6" s="1"/>
      <c r="E6" s="1"/>
      <c r="F6" s="1"/>
      <c r="G6" s="1"/>
      <c r="H6" s="1"/>
      <c r="I6" s="2"/>
      <c r="J6" s="2"/>
      <c r="K6" s="2"/>
      <c r="L6" s="2"/>
      <c r="M6" s="2"/>
      <c r="N6" s="2"/>
      <c r="O6" s="1"/>
      <c r="P6" s="1"/>
      <c r="Q6" s="1"/>
      <c r="R6" s="2"/>
      <c r="S6" s="2"/>
      <c r="T6" s="2"/>
      <c r="U6" s="2"/>
      <c r="V6" s="2"/>
    </row>
    <row r="7" spans="2:22" x14ac:dyDescent="0.3">
      <c r="C7" s="19">
        <f>IF(OR(ABS(N11-O11)&gt;10,ABS(H11-I11)&gt;10,ABS(B11-C11)&gt;10),-(C11-C14),-(B11-C14))</f>
        <v>5</v>
      </c>
      <c r="D7" s="1"/>
      <c r="E7" s="1"/>
      <c r="F7" s="1"/>
      <c r="G7" s="1"/>
      <c r="H7" s="1"/>
      <c r="I7" s="19">
        <f>IF(OR(ABS(N11-O11)&gt;10,ABS(H11-I11)&gt;10,ABS(B11-C11)&gt;10),-(I11-I14),-(H11-I14))</f>
        <v>-10</v>
      </c>
      <c r="J7" s="2"/>
      <c r="K7" s="2"/>
      <c r="L7" s="2"/>
      <c r="M7" s="2"/>
      <c r="N7" s="2"/>
      <c r="O7" s="19">
        <f>IF(OR(ABS(N11-O11)&gt;10,ABS(H11-I11)&gt;10,ABS(B11-C11)&gt;10),-(O11-O14), -(N11-O14))</f>
        <v>23</v>
      </c>
      <c r="P7" s="1"/>
      <c r="Q7" s="1"/>
      <c r="R7" s="2"/>
      <c r="S7" s="21">
        <f>-(S11-S14)</f>
        <v>-18</v>
      </c>
      <c r="T7" s="2"/>
      <c r="U7" s="2"/>
      <c r="V7" s="2"/>
    </row>
    <row r="8" spans="2:22" ht="15" thickBot="1" x14ac:dyDescent="0.35">
      <c r="C8" s="1"/>
      <c r="D8" s="1"/>
      <c r="E8" s="1"/>
      <c r="F8" s="1"/>
      <c r="G8" s="1"/>
      <c r="H8" s="1"/>
      <c r="I8" s="2"/>
      <c r="J8" s="2"/>
      <c r="K8" s="2"/>
      <c r="L8" s="2"/>
      <c r="M8" s="2"/>
      <c r="N8" s="2"/>
      <c r="O8" s="1"/>
      <c r="P8" s="1"/>
      <c r="Q8" s="1"/>
      <c r="R8" s="2"/>
      <c r="S8" s="2"/>
      <c r="T8" s="2"/>
      <c r="U8" s="2"/>
      <c r="V8" s="2"/>
    </row>
    <row r="9" spans="2:22" ht="15" thickBot="1" x14ac:dyDescent="0.35">
      <c r="C9" s="5" t="s">
        <v>1</v>
      </c>
      <c r="D9" s="1"/>
      <c r="E9" s="5" t="s">
        <v>2</v>
      </c>
      <c r="F9" s="1"/>
      <c r="G9" s="1"/>
      <c r="H9" s="1"/>
      <c r="I9" s="5" t="s">
        <v>4</v>
      </c>
      <c r="J9" s="2"/>
      <c r="K9" s="5" t="s">
        <v>6</v>
      </c>
      <c r="L9" s="2"/>
      <c r="M9" s="2"/>
      <c r="N9" s="2"/>
      <c r="O9" s="5" t="s">
        <v>7</v>
      </c>
      <c r="P9" s="1"/>
      <c r="Q9" s="5" t="s">
        <v>8</v>
      </c>
      <c r="R9" s="2"/>
      <c r="S9" s="5" t="s">
        <v>14</v>
      </c>
      <c r="T9" s="2"/>
      <c r="U9" s="3"/>
      <c r="V9" s="2"/>
    </row>
    <row r="10" spans="2:22" x14ac:dyDescent="0.3">
      <c r="B10" s="28" t="s">
        <v>13</v>
      </c>
      <c r="C10" s="24" t="str">
        <f>IF(C7&gt;0,"opvullen","niet opvullen")</f>
        <v>opvullen</v>
      </c>
      <c r="D10" s="1"/>
      <c r="E10" s="6"/>
      <c r="F10" s="1"/>
      <c r="G10" s="1"/>
      <c r="H10" s="30" t="s">
        <v>13</v>
      </c>
      <c r="I10" s="24" t="str">
        <f>IF(I7&gt;0,"opvullen","niet opvullen")</f>
        <v>niet opvullen</v>
      </c>
      <c r="J10" s="2"/>
      <c r="K10" s="9"/>
      <c r="L10" s="2"/>
      <c r="M10" s="2"/>
      <c r="N10" s="31" t="s">
        <v>13</v>
      </c>
      <c r="O10" s="24" t="str">
        <f>IF(O7&gt;0,"opvullen","niet opvullen")</f>
        <v>opvullen</v>
      </c>
      <c r="P10" s="1"/>
      <c r="Q10" s="6"/>
      <c r="R10" s="2"/>
      <c r="S10" s="24" t="str">
        <f>IF(S7&gt;0,"opvullen","niet opvullen")</f>
        <v>niet opvullen</v>
      </c>
      <c r="T10" s="32" t="s">
        <v>13</v>
      </c>
      <c r="U10" s="27"/>
      <c r="V10" s="2"/>
    </row>
    <row r="11" spans="2:22" x14ac:dyDescent="0.3">
      <c r="B11" s="29">
        <v>29</v>
      </c>
      <c r="C11" s="23">
        <v>19</v>
      </c>
      <c r="D11" s="1"/>
      <c r="E11" s="11" t="str">
        <f>IF(C11&gt;70,"afvoer","geen afvoer")</f>
        <v>geen afvoer</v>
      </c>
      <c r="F11" s="1"/>
      <c r="G11" s="1"/>
      <c r="H11" s="29">
        <v>42</v>
      </c>
      <c r="I11" s="11">
        <v>34</v>
      </c>
      <c r="J11" s="2"/>
      <c r="K11" s="11" t="str">
        <f>IF(I11&gt;70,"afvoer","geen afvoer")</f>
        <v>geen afvoer</v>
      </c>
      <c r="L11" s="2"/>
      <c r="M11" s="2"/>
      <c r="N11" s="29">
        <v>13</v>
      </c>
      <c r="O11" s="11">
        <v>1</v>
      </c>
      <c r="P11" s="1"/>
      <c r="Q11" s="11" t="str">
        <f>IF(O11&gt;70,"afvoer","geen afvoer")</f>
        <v>geen afvoer</v>
      </c>
      <c r="R11" s="2"/>
      <c r="S11" s="25">
        <v>42</v>
      </c>
      <c r="T11" s="33">
        <v>49</v>
      </c>
      <c r="U11" s="3"/>
      <c r="V11" s="2"/>
    </row>
    <row r="12" spans="2:22" ht="15" thickBot="1" x14ac:dyDescent="0.35">
      <c r="C12" s="6"/>
      <c r="D12" s="1"/>
      <c r="E12" s="8"/>
      <c r="F12" s="1"/>
      <c r="G12" s="1"/>
      <c r="H12" s="1"/>
      <c r="I12" s="9"/>
      <c r="J12" s="2"/>
      <c r="K12" s="10"/>
      <c r="L12" s="2"/>
      <c r="M12" s="2"/>
      <c r="N12" s="2"/>
      <c r="O12" s="6"/>
      <c r="P12" s="1"/>
      <c r="Q12" s="8"/>
      <c r="R12" s="2"/>
      <c r="S12" s="22"/>
      <c r="T12" s="2"/>
      <c r="U12" s="26"/>
      <c r="V12" s="2"/>
    </row>
    <row r="13" spans="2:22" x14ac:dyDescent="0.3">
      <c r="B13" s="1"/>
      <c r="C13" s="7"/>
      <c r="D13" s="1"/>
      <c r="E13" s="1"/>
      <c r="F13" s="1"/>
      <c r="G13" s="1"/>
      <c r="H13" s="1"/>
      <c r="I13" s="7"/>
      <c r="J13" s="2"/>
      <c r="K13" s="2"/>
      <c r="L13" s="2"/>
      <c r="M13" s="2"/>
      <c r="N13" s="1"/>
      <c r="O13" s="7"/>
      <c r="P13" s="1"/>
      <c r="Q13" s="1"/>
      <c r="R13" s="2"/>
      <c r="S13" s="25"/>
      <c r="T13" s="2"/>
      <c r="U13" s="26"/>
      <c r="V13" s="2"/>
    </row>
    <row r="14" spans="2:22" ht="15" thickBot="1" x14ac:dyDescent="0.35">
      <c r="C14" s="12">
        <f>IF(OR(ABS(N11-O11)&gt;10, ABS(H11-I11)&gt;10, ABS(B11-C11)&gt;10, ABS(T11-S11)&gt;10), AVERAGE(C11,I11,O11,S11),AVERAGE(N11,H11,B11,T11))</f>
        <v>24</v>
      </c>
      <c r="D14" s="1"/>
      <c r="E14" s="1"/>
      <c r="F14" s="1"/>
      <c r="G14" s="1"/>
      <c r="H14" s="1"/>
      <c r="I14" s="12">
        <f>IF(OR(ABS(N11-O11)&gt;10, ABS(H11-I11)&gt;10, ABS(B11-C11)&gt;10, ABS(T11-S11)&gt;10), AVERAGE(C11,I11,O11,S11),AVERAGE(N11,H11,B11,T11))</f>
        <v>24</v>
      </c>
      <c r="J14" s="2"/>
      <c r="K14" s="2"/>
      <c r="L14" s="2"/>
      <c r="M14" s="2"/>
      <c r="N14" s="2"/>
      <c r="O14" s="12">
        <f>IF(OR(ABS(N11-O11)&gt;10, ABS(H11-I11)&gt;10, ABS(B11-C11)&gt;10, ABS(T11-S11)&gt;10), AVERAGE(C11,I11,O11,S11),AVERAGE(N11,H11,B11,T11))</f>
        <v>24</v>
      </c>
      <c r="P14" s="1"/>
      <c r="Q14" s="1"/>
      <c r="R14" s="2"/>
      <c r="S14" s="20">
        <f>IF(OR(ABS(N11-O11)&gt;10, ABS(H11-I11)&gt;10, ABS(B11-C11)&gt;10, ABS(T11-S11)&gt;10), AVERAGE(C11,I11,O11,S11),AVERAGE(N11,H11,B11,T11))</f>
        <v>24</v>
      </c>
      <c r="T14" s="2"/>
      <c r="U14" s="26"/>
      <c r="V14" s="2"/>
    </row>
    <row r="15" spans="2:22" x14ac:dyDescent="0.3">
      <c r="C15" s="1"/>
      <c r="D15" s="1"/>
      <c r="E15" s="1"/>
      <c r="F15" s="1"/>
      <c r="G15" s="1"/>
      <c r="H15" s="1"/>
      <c r="I15" s="1"/>
      <c r="J15" s="1"/>
      <c r="K15" s="1"/>
      <c r="L15" s="2"/>
      <c r="M15" s="2"/>
      <c r="N15" s="2"/>
      <c r="O15" s="1"/>
      <c r="P15" s="1"/>
      <c r="Q15" s="1"/>
      <c r="R15" s="2"/>
      <c r="S15" s="2"/>
      <c r="T15" s="2"/>
      <c r="U15" s="34"/>
      <c r="V15" s="2"/>
    </row>
    <row r="16" spans="2:22" x14ac:dyDescent="0.3">
      <c r="C16" s="1"/>
      <c r="D16" s="1"/>
      <c r="E16" s="1"/>
      <c r="F16" s="1"/>
      <c r="G16" s="1"/>
      <c r="H16" s="1"/>
      <c r="I16" s="1"/>
      <c r="J16" s="1"/>
      <c r="K16" s="1"/>
      <c r="L16" s="2"/>
      <c r="M16" s="2"/>
      <c r="N16" s="2"/>
      <c r="O16" s="1"/>
      <c r="P16" s="1"/>
      <c r="Q16" s="1"/>
      <c r="R16" s="2"/>
      <c r="S16" s="2"/>
      <c r="T16" s="2"/>
      <c r="U16" s="35"/>
      <c r="V16" s="2"/>
    </row>
    <row r="17" spans="3:22" x14ac:dyDescent="0.3">
      <c r="C17" s="1"/>
      <c r="D17" s="1"/>
      <c r="E17" s="1"/>
      <c r="F17" s="1"/>
      <c r="G17" s="1"/>
      <c r="H17" s="1"/>
      <c r="I17" s="1"/>
      <c r="J17" s="1"/>
      <c r="K17" s="1"/>
      <c r="L17" s="2"/>
      <c r="M17" s="2"/>
      <c r="N17" s="2"/>
      <c r="O17" s="1"/>
      <c r="P17" s="1"/>
      <c r="Q17" s="1"/>
      <c r="R17" s="2"/>
      <c r="S17" s="2"/>
      <c r="T17" s="2"/>
      <c r="U17" s="35"/>
      <c r="V17" s="2"/>
    </row>
    <row r="18" spans="3:22" ht="15" thickBot="1" x14ac:dyDescent="0.35">
      <c r="C18" s="1"/>
      <c r="D18" s="1"/>
      <c r="E18" s="1"/>
      <c r="F18" s="1"/>
      <c r="G18" s="1"/>
      <c r="H18" s="1"/>
      <c r="I18" s="1"/>
      <c r="J18" s="1"/>
      <c r="K18" s="1"/>
      <c r="L18" s="2"/>
      <c r="M18" s="2"/>
      <c r="N18" s="2"/>
      <c r="O18" s="1"/>
      <c r="P18" s="1"/>
      <c r="Q18" s="1"/>
      <c r="R18" s="2"/>
      <c r="S18" s="2"/>
      <c r="T18" s="2"/>
      <c r="U18" s="2"/>
      <c r="V18" s="2"/>
    </row>
    <row r="19" spans="3:22" ht="15.6" thickTop="1" thickBot="1" x14ac:dyDescent="0.35">
      <c r="C19" s="1"/>
      <c r="D19" s="1"/>
      <c r="E19" s="1"/>
      <c r="F19" s="1"/>
      <c r="G19" s="1"/>
      <c r="H19" s="1"/>
      <c r="I19" s="1"/>
      <c r="J19" s="1"/>
      <c r="K19" s="1"/>
      <c r="L19" s="2"/>
      <c r="M19" s="2"/>
      <c r="N19" s="2"/>
      <c r="O19" s="2"/>
      <c r="P19" s="2"/>
      <c r="Q19" s="2"/>
      <c r="R19" s="2"/>
      <c r="S19" s="2"/>
      <c r="T19" s="2"/>
      <c r="U19" s="15" t="s">
        <v>9</v>
      </c>
      <c r="V19" s="2"/>
    </row>
    <row r="20" spans="3:22" ht="15" thickTop="1" x14ac:dyDescent="0.3">
      <c r="C20" s="1"/>
      <c r="D20" s="1"/>
      <c r="E20" s="1"/>
      <c r="F20" s="1"/>
      <c r="G20" s="1"/>
      <c r="H20" s="1"/>
      <c r="I20" s="1"/>
      <c r="J20" s="1"/>
      <c r="K20" s="1"/>
      <c r="L20" s="2"/>
      <c r="M20" s="2"/>
      <c r="N20" s="2"/>
      <c r="O20" s="2"/>
      <c r="P20" s="2"/>
      <c r="Q20" s="2"/>
      <c r="R20" s="2"/>
      <c r="S20" s="2"/>
      <c r="T20" s="2"/>
      <c r="U20" s="16" t="s">
        <v>10</v>
      </c>
      <c r="V20" s="2"/>
    </row>
    <row r="21" spans="3:22" x14ac:dyDescent="0.3">
      <c r="C21" s="1"/>
      <c r="D21" s="1"/>
      <c r="E21" s="1"/>
      <c r="F21" s="1"/>
      <c r="G21" s="1"/>
      <c r="H21" s="1"/>
      <c r="I21" s="1"/>
      <c r="J21" s="1"/>
      <c r="K21" s="1"/>
      <c r="L21" s="2"/>
      <c r="M21" s="2"/>
      <c r="N21" s="2"/>
      <c r="O21" s="2"/>
      <c r="P21" s="2"/>
      <c r="Q21" s="2"/>
      <c r="R21" s="2"/>
      <c r="S21" s="2"/>
      <c r="T21" s="2"/>
      <c r="U21" s="17" t="s">
        <v>11</v>
      </c>
      <c r="V21" s="2"/>
    </row>
    <row r="22" spans="3:22" ht="15" thickBot="1" x14ac:dyDescent="0.35">
      <c r="C22" s="1"/>
      <c r="D22" s="1"/>
      <c r="E22" s="1"/>
      <c r="F22" s="1"/>
      <c r="G22" s="1"/>
      <c r="H22" s="1"/>
      <c r="I22" s="1"/>
      <c r="J22" s="1"/>
      <c r="K22" s="1"/>
      <c r="L22" s="2"/>
      <c r="M22" s="2"/>
      <c r="N22" s="2"/>
      <c r="O22" s="2"/>
      <c r="P22" s="2"/>
      <c r="Q22" s="2"/>
      <c r="R22" s="2"/>
      <c r="S22" s="2"/>
      <c r="T22" s="2"/>
      <c r="U22" s="18" t="s">
        <v>12</v>
      </c>
      <c r="V22" s="2"/>
    </row>
    <row r="23" spans="3:22" ht="15" thickTop="1" x14ac:dyDescent="0.3">
      <c r="U23" s="14"/>
    </row>
    <row r="24" spans="3:22" x14ac:dyDescent="0.3">
      <c r="U24" s="13"/>
    </row>
    <row r="43" spans="3:5" x14ac:dyDescent="0.3">
      <c r="C43" s="36"/>
      <c r="D43" s="36"/>
      <c r="E43" s="36"/>
    </row>
    <row r="44" spans="3:5" x14ac:dyDescent="0.3">
      <c r="C44" s="36"/>
      <c r="D44" s="37"/>
      <c r="E44" s="38"/>
    </row>
    <row r="45" spans="3:5" x14ac:dyDescent="0.3">
      <c r="C45" s="36"/>
      <c r="D45" s="37"/>
      <c r="E45" s="38"/>
    </row>
    <row r="46" spans="3:5" x14ac:dyDescent="0.3">
      <c r="C46" s="36"/>
      <c r="D46" s="37"/>
      <c r="E46" s="38"/>
    </row>
    <row r="47" spans="3:5" x14ac:dyDescent="0.3">
      <c r="C47" s="36"/>
      <c r="D47" s="38"/>
      <c r="E47" s="38"/>
    </row>
  </sheetData>
  <conditionalFormatting sqref="C11">
    <cfRule type="cellIs" dxfId="61" priority="70" operator="between">
      <formula>71</formula>
      <formula>100</formula>
    </cfRule>
    <cfRule type="cellIs" dxfId="60" priority="71" operator="between">
      <formula>21</formula>
      <formula>70</formula>
    </cfRule>
    <cfRule type="cellIs" dxfId="59" priority="72" operator="between">
      <formula>0</formula>
      <formula>20</formula>
    </cfRule>
  </conditionalFormatting>
  <conditionalFormatting sqref="I11">
    <cfRule type="cellIs" dxfId="58" priority="67" operator="between">
      <formula>71</formula>
      <formula>100</formula>
    </cfRule>
    <cfRule type="cellIs" dxfId="57" priority="68" operator="between">
      <formula>21</formula>
      <formula>70</formula>
    </cfRule>
    <cfRule type="cellIs" dxfId="56" priority="69" operator="between">
      <formula>0</formula>
      <formula>20</formula>
    </cfRule>
  </conditionalFormatting>
  <conditionalFormatting sqref="O11">
    <cfRule type="cellIs" dxfId="55" priority="64" operator="between">
      <formula>71</formula>
      <formula>100</formula>
    </cfRule>
    <cfRule type="cellIs" dxfId="54" priority="65" operator="between">
      <formula>21</formula>
      <formula>70</formula>
    </cfRule>
    <cfRule type="cellIs" dxfId="53" priority="66" operator="between">
      <formula>0</formula>
      <formula>20</formula>
    </cfRule>
  </conditionalFormatting>
  <conditionalFormatting sqref="E11">
    <cfRule type="beginsWith" dxfId="52" priority="62" operator="beginsWith" text="geen">
      <formula>LEFT(E11,LEN("geen"))="geen"</formula>
    </cfRule>
    <cfRule type="beginsWith" dxfId="51" priority="63" operator="beginsWith" text="afvoer">
      <formula>LEFT(E11,LEN("afvoer"))="afvoer"</formula>
    </cfRule>
  </conditionalFormatting>
  <conditionalFormatting sqref="K11">
    <cfRule type="beginsWith" dxfId="50" priority="60" operator="beginsWith" text="geen">
      <formula>LEFT(K11,LEN("geen"))="geen"</formula>
    </cfRule>
    <cfRule type="beginsWith" dxfId="49" priority="61" operator="beginsWith" text="afvoer">
      <formula>LEFT(K11,LEN("afvoer"))="afvoer"</formula>
    </cfRule>
  </conditionalFormatting>
  <conditionalFormatting sqref="Q11">
    <cfRule type="beginsWith" dxfId="48" priority="58" operator="beginsWith" text="geen">
      <formula>LEFT(Q11,LEN("geen"))="geen"</formula>
    </cfRule>
    <cfRule type="beginsWith" dxfId="47" priority="59" operator="beginsWith" text="afvoer">
      <formula>LEFT(Q11,LEN("afvoer"))="afvoer"</formula>
    </cfRule>
  </conditionalFormatting>
  <conditionalFormatting sqref="U11">
    <cfRule type="beginsWith" dxfId="46" priority="55" operator="beginsWith" text="niet">
      <formula>LEFT(U11,LEN("niet"))="niet"</formula>
    </cfRule>
    <cfRule type="beginsWith" dxfId="45" priority="56" operator="beginsWith" text="opvullen">
      <formula>LEFT(U11,LEN("opvullen"))="opvullen"</formula>
    </cfRule>
  </conditionalFormatting>
  <conditionalFormatting sqref="S12">
    <cfRule type="cellIs" dxfId="44" priority="50" operator="between">
      <formula>71</formula>
      <formula>100</formula>
    </cfRule>
    <cfRule type="cellIs" dxfId="43" priority="51" operator="between">
      <formula>21</formula>
      <formula>70</formula>
    </cfRule>
    <cfRule type="cellIs" dxfId="42" priority="52" operator="between">
      <formula>1</formula>
      <formula>20</formula>
    </cfRule>
  </conditionalFormatting>
  <conditionalFormatting sqref="C13">
    <cfRule type="cellIs" dxfId="41" priority="47" operator="between">
      <formula>71</formula>
      <formula>100</formula>
    </cfRule>
    <cfRule type="cellIs" dxfId="40" priority="48" operator="between">
      <formula>21</formula>
      <formula>70</formula>
    </cfRule>
    <cfRule type="cellIs" dxfId="39" priority="49" operator="between">
      <formula>1</formula>
      <formula>20</formula>
    </cfRule>
  </conditionalFormatting>
  <conditionalFormatting sqref="I13">
    <cfRule type="cellIs" dxfId="38" priority="44" operator="between">
      <formula>71</formula>
      <formula>100</formula>
    </cfRule>
    <cfRule type="cellIs" dxfId="37" priority="45" operator="between">
      <formula>21</formula>
      <formula>70</formula>
    </cfRule>
    <cfRule type="cellIs" dxfId="36" priority="46" operator="between">
      <formula>1</formula>
      <formula>20</formula>
    </cfRule>
  </conditionalFormatting>
  <conditionalFormatting sqref="O13">
    <cfRule type="cellIs" dxfId="35" priority="41" operator="between">
      <formula>71</formula>
      <formula>100</formula>
    </cfRule>
    <cfRule type="cellIs" dxfId="34" priority="42" operator="between">
      <formula>21</formula>
      <formula>70</formula>
    </cfRule>
    <cfRule type="cellIs" dxfId="33" priority="43" operator="between">
      <formula>1</formula>
      <formula>20</formula>
    </cfRule>
  </conditionalFormatting>
  <conditionalFormatting sqref="C14">
    <cfRule type="cellIs" dxfId="32" priority="38" operator="between">
      <formula>71</formula>
      <formula>100</formula>
    </cfRule>
    <cfRule type="cellIs" dxfId="31" priority="39" operator="between">
      <formula>21</formula>
      <formula>70</formula>
    </cfRule>
    <cfRule type="cellIs" dxfId="30" priority="40" operator="between">
      <formula>0</formula>
      <formula>20</formula>
    </cfRule>
  </conditionalFormatting>
  <conditionalFormatting sqref="I14">
    <cfRule type="cellIs" dxfId="29" priority="35" operator="between">
      <formula>71</formula>
      <formula>100</formula>
    </cfRule>
    <cfRule type="cellIs" dxfId="28" priority="36" operator="between">
      <formula>21</formula>
      <formula>70</formula>
    </cfRule>
    <cfRule type="cellIs" dxfId="27" priority="37" operator="between">
      <formula>0</formula>
      <formula>20</formula>
    </cfRule>
  </conditionalFormatting>
  <conditionalFormatting sqref="O14">
    <cfRule type="cellIs" dxfId="26" priority="32" operator="between">
      <formula>71</formula>
      <formula>100</formula>
    </cfRule>
    <cfRule type="cellIs" dxfId="25" priority="33" operator="between">
      <formula>21</formula>
      <formula>70</formula>
    </cfRule>
    <cfRule type="cellIs" dxfId="24" priority="34" operator="between">
      <formula>0</formula>
      <formula>20</formula>
    </cfRule>
  </conditionalFormatting>
  <conditionalFormatting sqref="U20">
    <cfRule type="expression" dxfId="23" priority="29">
      <formula>I14&lt;21</formula>
    </cfRule>
  </conditionalFormatting>
  <conditionalFormatting sqref="U21">
    <cfRule type="expression" dxfId="22" priority="27">
      <formula>$O$14&gt;80</formula>
    </cfRule>
    <cfRule type="expression" dxfId="21" priority="28">
      <formula>20&lt;$O$14</formula>
    </cfRule>
  </conditionalFormatting>
  <conditionalFormatting sqref="U22">
    <cfRule type="expression" dxfId="20" priority="26">
      <formula>80&lt;$O$14</formula>
    </cfRule>
  </conditionalFormatting>
  <conditionalFormatting sqref="S13">
    <cfRule type="cellIs" dxfId="19" priority="20" operator="between">
      <formula>71</formula>
      <formula>100</formula>
    </cfRule>
    <cfRule type="cellIs" dxfId="18" priority="21" operator="between">
      <formula>21</formula>
      <formula>70</formula>
    </cfRule>
    <cfRule type="cellIs" dxfId="17" priority="22" operator="between">
      <formula>1</formula>
      <formula>20</formula>
    </cfRule>
  </conditionalFormatting>
  <conditionalFormatting sqref="O10">
    <cfRule type="beginsWith" dxfId="16" priority="18" operator="beginsWith" text="niet">
      <formula>LEFT(O10,LEN("niet"))="niet"</formula>
    </cfRule>
    <cfRule type="beginsWith" dxfId="15" priority="19" operator="beginsWith" text="opvullen">
      <formula>LEFT(O10,LEN("opvullen"))="opvullen"</formula>
    </cfRule>
  </conditionalFormatting>
  <conditionalFormatting sqref="I10">
    <cfRule type="beginsWith" dxfId="14" priority="16" operator="beginsWith" text="niet">
      <formula>LEFT(I10,LEN("niet"))="niet"</formula>
    </cfRule>
    <cfRule type="beginsWith" dxfId="13" priority="17" operator="beginsWith" text="opvullen">
      <formula>LEFT(I10,LEN("opvullen"))="opvullen"</formula>
    </cfRule>
  </conditionalFormatting>
  <conditionalFormatting sqref="C10">
    <cfRule type="beginsWith" dxfId="12" priority="14" operator="beginsWith" text="niet">
      <formula>LEFT(C10,LEN("niet"))="niet"</formula>
    </cfRule>
    <cfRule type="beginsWith" dxfId="11" priority="15" operator="beginsWith" text="opvullen">
      <formula>LEFT(C10,LEN("opvullen"))="opvullen"</formula>
    </cfRule>
  </conditionalFormatting>
  <conditionalFormatting sqref="S10">
    <cfRule type="beginsWith" dxfId="10" priority="12" operator="beginsWith" text="niet">
      <formula>LEFT(S10,LEN("niet"))="niet"</formula>
    </cfRule>
    <cfRule type="beginsWith" dxfId="9" priority="13" operator="beginsWith" text="opvullen">
      <formula>LEFT(S10,LEN("opvullen"))="opvullen"</formula>
    </cfRule>
  </conditionalFormatting>
  <conditionalFormatting sqref="S11">
    <cfRule type="cellIs" dxfId="8" priority="9" operator="between">
      <formula>71</formula>
      <formula>100</formula>
    </cfRule>
    <cfRule type="cellIs" dxfId="7" priority="10" operator="between">
      <formula>21</formula>
      <formula>70</formula>
    </cfRule>
    <cfRule type="cellIs" dxfId="6" priority="11" operator="between">
      <formula>0</formula>
      <formula>20</formula>
    </cfRule>
  </conditionalFormatting>
  <conditionalFormatting sqref="S14">
    <cfRule type="cellIs" dxfId="5" priority="6" operator="between">
      <formula>71</formula>
      <formula>100</formula>
    </cfRule>
    <cfRule type="cellIs" dxfId="4" priority="7" operator="between">
      <formula>21</formula>
      <formula>70</formula>
    </cfRule>
    <cfRule type="cellIs" dxfId="3" priority="8" operator="between">
      <formula>0</formula>
      <formula>20</formula>
    </cfRule>
  </conditionalFormatting>
  <conditionalFormatting sqref="E5">
    <cfRule type="expression" dxfId="2" priority="5">
      <formula>$C$7=0</formula>
    </cfRule>
  </conditionalFormatting>
  <conditionalFormatting sqref="L5">
    <cfRule type="expression" dxfId="1" priority="4">
      <formula>$I$7=0</formula>
    </cfRule>
  </conditionalFormatting>
  <conditionalFormatting sqref="Q5">
    <cfRule type="expression" dxfId="0" priority="1">
      <formula>$S$7=0</formula>
    </cfRule>
  </conditionalFormatting>
  <dataValidations count="2">
    <dataValidation type="whole" allowBlank="1" showInputMessage="1" showErrorMessage="1" sqref="C11 C14 I11 I14 O11 O14 S13:S14" xr:uid="{49457CB9-5FF8-4D30-BB23-AB7A42A89303}">
      <formula1>0</formula1>
      <formula2>100</formula2>
    </dataValidation>
    <dataValidation type="whole" allowBlank="1" showInputMessage="1" showErrorMessage="1" sqref="S11:S12" xr:uid="{29CC2DA1-7671-4850-91D9-D9B75B97547E}">
      <formula1>20</formula1>
      <formula2>100</formula2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Verbruikknop">
                <anchor moveWithCells="1" sizeWithCells="1">
                  <from>
                    <xdr:col>1</xdr:col>
                    <xdr:colOff>480060</xdr:colOff>
                    <xdr:row>22</xdr:row>
                    <xdr:rowOff>45720</xdr:rowOff>
                  </from>
                  <to>
                    <xdr:col>2</xdr:col>
                    <xdr:colOff>335280</xdr:colOff>
                    <xdr:row>23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genvalknop">
                <anchor moveWithCells="1" sizeWithCells="1">
                  <from>
                    <xdr:col>1</xdr:col>
                    <xdr:colOff>480060</xdr:colOff>
                    <xdr:row>24</xdr:row>
                    <xdr:rowOff>99060</xdr:rowOff>
                  </from>
                  <to>
                    <xdr:col>2</xdr:col>
                    <xdr:colOff>335280</xdr:colOff>
                    <xdr:row>26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einigverbruik">
                <anchor moveWithCells="1" sizeWithCells="1">
                  <from>
                    <xdr:col>1</xdr:col>
                    <xdr:colOff>312420</xdr:colOff>
                    <xdr:row>17</xdr:row>
                    <xdr:rowOff>106680</xdr:rowOff>
                  </from>
                  <to>
                    <xdr:col>2</xdr:col>
                    <xdr:colOff>586740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einigRegenval">
                <anchor moveWithCells="1" sizeWithCells="1">
                  <from>
                    <xdr:col>1</xdr:col>
                    <xdr:colOff>304800</xdr:colOff>
                    <xdr:row>19</xdr:row>
                    <xdr:rowOff>137160</xdr:rowOff>
                  </from>
                  <to>
                    <xdr:col>2</xdr:col>
                    <xdr:colOff>594360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tartVerbruik">
                <anchor moveWithCells="1" sizeWithCells="1">
                  <from>
                    <xdr:col>1</xdr:col>
                    <xdr:colOff>281940</xdr:colOff>
                    <xdr:row>27</xdr:row>
                    <xdr:rowOff>7620</xdr:rowOff>
                  </from>
                  <to>
                    <xdr:col>2</xdr:col>
                    <xdr:colOff>533400</xdr:colOff>
                    <xdr:row>28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eset">
                <anchor moveWithCells="1" sizeWithCells="1">
                  <from>
                    <xdr:col>1</xdr:col>
                    <xdr:colOff>541020</xdr:colOff>
                    <xdr:row>15</xdr:row>
                    <xdr:rowOff>114300</xdr:rowOff>
                  </from>
                  <to>
                    <xdr:col>2</xdr:col>
                    <xdr:colOff>281940</xdr:colOff>
                    <xdr:row>17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Put2Dalen">
                <anchor moveWithCells="1" sizeWithCells="1">
                  <from>
                    <xdr:col>1</xdr:col>
                    <xdr:colOff>335280</xdr:colOff>
                    <xdr:row>31</xdr:row>
                    <xdr:rowOff>60960</xdr:rowOff>
                  </from>
                  <to>
                    <xdr:col>2</xdr:col>
                    <xdr:colOff>457200</xdr:colOff>
                    <xdr:row>32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StartRegenval">
                <anchor moveWithCells="1" sizeWithCells="1">
                  <from>
                    <xdr:col>1</xdr:col>
                    <xdr:colOff>213360</xdr:colOff>
                    <xdr:row>29</xdr:row>
                    <xdr:rowOff>45720</xdr:rowOff>
                  </from>
                  <to>
                    <xdr:col>2</xdr:col>
                    <xdr:colOff>601980</xdr:colOff>
                    <xdr:row>30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E2E0A6-AC24-419B-AA6A-C41A519054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Blad1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Eigenaar</dc:creator>
  <cp:lastModifiedBy>Bert Moelans</cp:lastModifiedBy>
  <dcterms:created xsi:type="dcterms:W3CDTF">2020-01-22T07:53:24Z</dcterms:created>
  <dcterms:modified xsi:type="dcterms:W3CDTF">2020-03-31T09:10:28Z</dcterms:modified>
</cp:coreProperties>
</file>